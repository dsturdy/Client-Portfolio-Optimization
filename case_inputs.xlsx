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sturdevant/PycharmProjects/First_Eagle_Optimization_Case_Study/"/>
    </mc:Choice>
  </mc:AlternateContent>
  <xr:revisionPtr revIDLastSave="0" documentId="8_{3E25D8BF-76FC-A846-B348-6D88C5A510E7}" xr6:coauthVersionLast="47" xr6:coauthVersionMax="47" xr10:uidLastSave="{00000000-0000-0000-0000-000000000000}"/>
  <bookViews>
    <workbookView xWindow="0" yWindow="760" windowWidth="29040" windowHeight="15720" xr2:uid="{03B1B100-EE35-4FE3-BCA3-3264C53890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</calcChain>
</file>

<file path=xl/sharedStrings.xml><?xml version="1.0" encoding="utf-8"?>
<sst xmlns="http://schemas.openxmlformats.org/spreadsheetml/2006/main" count="163" uniqueCount="96">
  <si>
    <t>Calculated on: 12/23/2025 4:31:59 PM</t>
  </si>
  <si>
    <t>Exported on: 12/23/2025 4:32:29 PM</t>
  </si>
  <si>
    <t>12/1/2015</t>
  </si>
  <si>
    <t>Inception Date</t>
  </si>
  <si>
    <t>11/30/2025</t>
  </si>
  <si>
    <t>Group/Investment</t>
  </si>
  <si>
    <t>Ticker</t>
  </si>
  <si>
    <t>Investment Type</t>
  </si>
  <si>
    <t>Morningstar Category Group</t>
  </si>
  <si>
    <t>Morningstar Category</t>
  </si>
  <si>
    <t>12 Mo Yield</t>
  </si>
  <si>
    <t>Return
(Annualized)</t>
  </si>
  <si>
    <t>Std Dev
(Annualized)</t>
  </si>
  <si>
    <t>Sharpe Ratio
(Annualized)</t>
  </si>
  <si>
    <t>First Eagle Credit Opportunities I</t>
  </si>
  <si>
    <t>FECRX</t>
  </si>
  <si>
    <t>Closed-End Fund</t>
  </si>
  <si>
    <t>Fixed Income</t>
  </si>
  <si>
    <t>Private Debt</t>
  </si>
  <si>
    <t>US CE Private Debt - General</t>
  </si>
  <si>
    <t>First Eagle Global I</t>
  </si>
  <si>
    <t>SGIIX</t>
  </si>
  <si>
    <t>Open-End Fund</t>
  </si>
  <si>
    <t>Allocation</t>
  </si>
  <si>
    <t>US Fund Global Moderately Aggressive Allocation</t>
  </si>
  <si>
    <t>First Eagle Global Income Builder I</t>
  </si>
  <si>
    <t>FEBIX</t>
  </si>
  <si>
    <t>US Fund Global Moderate Allocation</t>
  </si>
  <si>
    <t>First Eagle Global Real Assets I</t>
  </si>
  <si>
    <t>FEREX</t>
  </si>
  <si>
    <t>US Fund Global Aggressive Allocation</t>
  </si>
  <si>
    <t>First Eagle Gold I</t>
  </si>
  <si>
    <t>FEGIX</t>
  </si>
  <si>
    <t>Equity</t>
  </si>
  <si>
    <t>US Fund Equity Precious Metals</t>
  </si>
  <si>
    <t>First Eagle High Yield Municipal I</t>
  </si>
  <si>
    <t>FEHIX</t>
  </si>
  <si>
    <t>Municipal Fixed Income</t>
  </si>
  <si>
    <t>US Fund High Yield Muni</t>
  </si>
  <si>
    <t>First Eagle Overseas I</t>
  </si>
  <si>
    <t>SGOIX</t>
  </si>
  <si>
    <t>US Fund Foreign Large Blend</t>
  </si>
  <si>
    <t>First Eagle Real Estate Debt I</t>
  </si>
  <si>
    <t>FERLX</t>
  </si>
  <si>
    <t>First Eagle Rising Dividend Fund I</t>
  </si>
  <si>
    <t>FEAIX</t>
  </si>
  <si>
    <t>US Fund Large Value</t>
  </si>
  <si>
    <t>First Eagle Short Dur Hi Yld Muncpl I</t>
  </si>
  <si>
    <t>FDUIX</t>
  </si>
  <si>
    <t>First Eagle Small Cap Opportunity I</t>
  </si>
  <si>
    <t>FESCX</t>
  </si>
  <si>
    <t>US Fund Small Value</t>
  </si>
  <si>
    <t>First Eagle U.S. SMID Cap Opportunity I</t>
  </si>
  <si>
    <t>FESMX</t>
  </si>
  <si>
    <t>US Fund Small Blend</t>
  </si>
  <si>
    <t>First Eagle US I</t>
  </si>
  <si>
    <t>FEVIX</t>
  </si>
  <si>
    <t>US Fund Moderately Aggressive Allocation</t>
  </si>
  <si>
    <t>iShares iBoxx $ High Yield Corp Bd ETF</t>
  </si>
  <si>
    <t>HYG</t>
  </si>
  <si>
    <t>Exchange-Traded Fund</t>
  </si>
  <si>
    <t>US Fund High Yield Bond</t>
  </si>
  <si>
    <t>iShares iBoxx $ Invmt Grade Corp Bd ETF</t>
  </si>
  <si>
    <t>LQD</t>
  </si>
  <si>
    <t>US Fund Corporate Bond</t>
  </si>
  <si>
    <t>iShares® 0-3 Month Treasury Bond ETF</t>
  </si>
  <si>
    <t>SGOV</t>
  </si>
  <si>
    <t>US Fund Ultrashort Bond</t>
  </si>
  <si>
    <t>Duration</t>
  </si>
  <si>
    <t>Net Expense Ratio</t>
  </si>
  <si>
    <t>Start Date</t>
  </si>
  <si>
    <t>End Date</t>
  </si>
  <si>
    <t>Earliest Common Start Date</t>
  </si>
  <si>
    <t>Potential Investment Universe:</t>
  </si>
  <si>
    <t>Asset Group</t>
  </si>
  <si>
    <t>Current Allocations</t>
  </si>
  <si>
    <t>Fund Name</t>
  </si>
  <si>
    <t xml:space="preserve">FESCX </t>
  </si>
  <si>
    <t>Bonds (Interm IG)</t>
  </si>
  <si>
    <t xml:space="preserve">SGIIX </t>
  </si>
  <si>
    <t>Current Portfolio:</t>
  </si>
  <si>
    <t>Cash &amp; Short Term Inv.</t>
  </si>
  <si>
    <t>Bonds (Muni HY)</t>
  </si>
  <si>
    <t>Non-US Equity</t>
  </si>
  <si>
    <t>US Small Mid Equity</t>
  </si>
  <si>
    <t>US Large Equity</t>
  </si>
  <si>
    <t>Balanced / Allocation</t>
  </si>
  <si>
    <t>Total</t>
  </si>
  <si>
    <t>Allocation Constraints</t>
  </si>
  <si>
    <t>Minimum Liquidity</t>
  </si>
  <si>
    <t>5% quarterly</t>
  </si>
  <si>
    <t>100% daily</t>
  </si>
  <si>
    <t>Min - Max %</t>
  </si>
  <si>
    <t>0 - 40%</t>
  </si>
  <si>
    <t>0 - 20%</t>
  </si>
  <si>
    <t>2 - 10%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</si>
</sst>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FE Chivo Air"/>
    </font>
    <font>
      <b/>
      <sz val="11"/>
      <color theme="1"/>
      <name val="FE Chivo Air"/>
    </font>
    <font>
      <b/>
      <sz val="11"/>
      <color rgb="FF233C98"/>
      <name val="FE Chivo Air"/>
    </font>
    <font>
      <sz val="11"/>
      <color rgb="FF000000"/>
      <name val="FE Chivo Air"/>
    </font>
    <font>
      <b/>
      <sz val="11"/>
      <color rgb="FF000000"/>
      <name val="FE Chivo Air"/>
    </font>
  </fonts>
  <fills count="3">
    <fill>
      <patternFill patternType="none"/>
    </fill>
    <fill>
      <patternFill patternType="gray125"/>
    </fill>
    <fill>
      <patternFill patternType="solid">
        <fgColor rgb="FFF1F4F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A1CF"/>
      </bottom>
      <diagonal/>
    </border>
    <border>
      <left/>
      <right/>
      <top/>
      <bottom style="medium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9" fontId="4" fillId="2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9" fontId="4" fillId="2" borderId="2" xfId="0" applyNumberFormat="1" applyFont="1" applyFill="1" applyBorder="1" applyAlignment="1">
      <alignment horizontal="center" vertical="center"/>
    </xf>
    <xf numFmtId="9" fontId="5" fillId="2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49" fontId="2" fillId="0" borderId="0" xfId="0" applyNumberFormat="1" applyFont="1"/>
    <xf numFmtId="0" fontId="1" fillId="0" borderId="0" xfId="0" applyFont="1"/>
    <xf numFmtId="49" fontId="1" fillId="0" borderId="1" xfId="0" applyNumberFormat="1" applyFont="1" applyBorder="1"/>
    <xf numFmtId="0" fontId="1" fillId="0" borderId="1" xfId="0" applyFont="1" applyBorder="1"/>
    <xf numFmtId="49" fontId="2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 wrapText="1"/>
    </xf>
    <xf numFmtId="49" fontId="1" fillId="0" borderId="0" xfId="0" applyNumberFormat="1" applyFont="1"/>
    <xf numFmtId="49" fontId="2" fillId="0" borderId="0" xfId="0" applyNumberFormat="1" applyFont="1" applyAlignment="1">
      <alignment horizontal="left"/>
    </xf>
    <xf numFmtId="4" fontId="1" fillId="0" borderId="0" xfId="0" applyNumberFormat="1" applyFont="1"/>
    <xf numFmtId="14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2C9E-60E6-4DAB-9887-F9FF8F102912}">
  <dimension ref="A1:T35"/>
  <sheetViews>
    <sheetView tabSelected="1" zoomScale="85" zoomScaleNormal="85" workbookViewId="0">
      <selection activeCell="F28" sqref="F28"/>
    </sheetView>
  </sheetViews>
  <sheetFormatPr baseColWidth="10" defaultColWidth="9.1640625" defaultRowHeight="14"/>
  <cols>
    <col min="1" max="1" width="44.5" style="10" bestFit="1" customWidth="1"/>
    <col min="2" max="2" width="7.6640625" style="10" bestFit="1" customWidth="1"/>
    <col min="3" max="3" width="23.6640625" style="10" bestFit="1" customWidth="1"/>
    <col min="4" max="4" width="24" style="10" bestFit="1" customWidth="1"/>
    <col min="5" max="5" width="45.33203125" style="10" bestFit="1" customWidth="1"/>
    <col min="6" max="7" width="12.5" style="10" customWidth="1"/>
    <col min="8" max="8" width="12.33203125" style="10" bestFit="1" customWidth="1"/>
    <col min="9" max="9" width="12.33203125" style="10" customWidth="1"/>
    <col min="10" max="20" width="13.6640625" style="10" customWidth="1"/>
    <col min="21" max="16384" width="9.1640625" style="10"/>
  </cols>
  <sheetData>
    <row r="1" spans="1:20" ht="15">
      <c r="A1" s="9" t="s">
        <v>0</v>
      </c>
    </row>
    <row r="2" spans="1:20" ht="15">
      <c r="A2" s="9" t="s">
        <v>1</v>
      </c>
    </row>
    <row r="3" spans="1:20" s="12" customFormat="1">
      <c r="A3" s="11"/>
    </row>
    <row r="4" spans="1:20" s="13" customFormat="1" ht="15">
      <c r="A4" s="13" t="s">
        <v>70</v>
      </c>
      <c r="J4" s="21" t="s">
        <v>72</v>
      </c>
      <c r="K4" s="22"/>
      <c r="L4" s="22"/>
      <c r="M4" s="22"/>
      <c r="N4" s="21" t="s">
        <v>2</v>
      </c>
      <c r="O4" s="22"/>
      <c r="P4" s="22"/>
      <c r="Q4" s="21" t="s">
        <v>3</v>
      </c>
      <c r="R4" s="22"/>
      <c r="S4" s="22"/>
      <c r="T4" s="22"/>
    </row>
    <row r="5" spans="1:20" s="13" customFormat="1" ht="15">
      <c r="A5" s="14" t="s">
        <v>71</v>
      </c>
      <c r="J5" s="23" t="s">
        <v>4</v>
      </c>
      <c r="K5" s="24"/>
      <c r="L5" s="24"/>
      <c r="M5" s="24"/>
      <c r="N5" s="23" t="s">
        <v>4</v>
      </c>
      <c r="O5" s="24"/>
      <c r="P5" s="24"/>
      <c r="Q5" s="23" t="s">
        <v>4</v>
      </c>
      <c r="R5" s="24"/>
      <c r="S5" s="24"/>
      <c r="T5" s="24"/>
    </row>
    <row r="6" spans="1:20" s="15" customFormat="1" ht="30">
      <c r="A6" s="15" t="s">
        <v>5</v>
      </c>
      <c r="B6" s="15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69</v>
      </c>
      <c r="H6" s="15" t="s">
        <v>68</v>
      </c>
      <c r="I6" s="15" t="s">
        <v>89</v>
      </c>
      <c r="J6" s="15" t="s">
        <v>3</v>
      </c>
      <c r="K6" s="15" t="s">
        <v>11</v>
      </c>
      <c r="L6" s="15" t="s">
        <v>12</v>
      </c>
      <c r="M6" s="15" t="s">
        <v>13</v>
      </c>
      <c r="N6" s="15" t="s">
        <v>11</v>
      </c>
      <c r="O6" s="15" t="s">
        <v>12</v>
      </c>
      <c r="P6" s="15" t="s">
        <v>13</v>
      </c>
      <c r="Q6" s="15" t="s">
        <v>3</v>
      </c>
      <c r="R6" s="15" t="s">
        <v>11</v>
      </c>
      <c r="S6" s="15" t="s">
        <v>12</v>
      </c>
      <c r="T6" s="15" t="s">
        <v>13</v>
      </c>
    </row>
    <row r="7" spans="1:20">
      <c r="A7" s="16"/>
    </row>
    <row r="8" spans="1:20" ht="15">
      <c r="A8" s="17" t="s">
        <v>73</v>
      </c>
    </row>
    <row r="9" spans="1:20">
      <c r="A9" s="16" t="s">
        <v>14</v>
      </c>
      <c r="B9" s="16" t="s">
        <v>15</v>
      </c>
      <c r="C9" s="16" t="s">
        <v>16</v>
      </c>
      <c r="D9" s="16" t="s">
        <v>18</v>
      </c>
      <c r="E9" s="16" t="s">
        <v>19</v>
      </c>
      <c r="F9" s="18">
        <v>8.7263199999999994</v>
      </c>
      <c r="G9" s="18">
        <v>3.26</v>
      </c>
      <c r="H9" s="18">
        <v>0.12</v>
      </c>
      <c r="I9" s="18" t="s">
        <v>90</v>
      </c>
      <c r="J9" s="19">
        <v>44089</v>
      </c>
      <c r="K9" s="18">
        <v>7.7297140000000004</v>
      </c>
      <c r="L9" s="18">
        <v>1.3360540000000001</v>
      </c>
      <c r="M9" s="18">
        <v>2.2886549999999999</v>
      </c>
      <c r="N9" s="18"/>
      <c r="O9" s="18"/>
      <c r="P9" s="18"/>
      <c r="Q9" s="19">
        <v>44089</v>
      </c>
      <c r="R9" s="18">
        <v>7.0190260000000002</v>
      </c>
      <c r="S9" s="18">
        <v>1.7647120000000001</v>
      </c>
      <c r="T9" s="18">
        <v>2.4206500000000002</v>
      </c>
    </row>
    <row r="10" spans="1:20">
      <c r="A10" s="16" t="s">
        <v>20</v>
      </c>
      <c r="B10" s="16" t="s">
        <v>21</v>
      </c>
      <c r="C10" s="16" t="s">
        <v>22</v>
      </c>
      <c r="D10" s="16" t="s">
        <v>23</v>
      </c>
      <c r="E10" s="16" t="s">
        <v>24</v>
      </c>
      <c r="F10" s="18">
        <v>1.9805900000000001</v>
      </c>
      <c r="G10" s="18">
        <v>0.86</v>
      </c>
      <c r="H10" s="18">
        <v>0</v>
      </c>
      <c r="I10" s="18" t="s">
        <v>91</v>
      </c>
      <c r="J10" s="19">
        <v>36007</v>
      </c>
      <c r="K10" s="18">
        <v>32.531288000000004</v>
      </c>
      <c r="L10" s="18">
        <v>16.287353</v>
      </c>
      <c r="M10" s="18">
        <v>2.2124419999999998</v>
      </c>
      <c r="N10" s="18">
        <v>9.8927639999999997</v>
      </c>
      <c r="O10" s="18">
        <v>11.8363</v>
      </c>
      <c r="P10" s="18">
        <v>0.67151899999999998</v>
      </c>
      <c r="Q10" s="19">
        <v>36007</v>
      </c>
      <c r="R10" s="18">
        <v>10.565208</v>
      </c>
      <c r="S10" s="18">
        <v>13.913992</v>
      </c>
      <c r="T10" s="18">
        <v>0.89582499999999998</v>
      </c>
    </row>
    <row r="11" spans="1:20">
      <c r="A11" s="16" t="s">
        <v>25</v>
      </c>
      <c r="B11" s="16" t="s">
        <v>26</v>
      </c>
      <c r="C11" s="16" t="s">
        <v>22</v>
      </c>
      <c r="D11" s="16" t="s">
        <v>23</v>
      </c>
      <c r="E11" s="16" t="s">
        <v>27</v>
      </c>
      <c r="F11" s="18">
        <v>2.52346</v>
      </c>
      <c r="G11" s="18">
        <v>0.96</v>
      </c>
      <c r="H11" s="18">
        <v>0</v>
      </c>
      <c r="I11" s="18" t="s">
        <v>91</v>
      </c>
      <c r="J11" s="19">
        <v>41030</v>
      </c>
      <c r="K11" s="18">
        <v>22.238419</v>
      </c>
      <c r="L11" s="18">
        <v>11.049552</v>
      </c>
      <c r="M11" s="18">
        <v>2.1262089999999998</v>
      </c>
      <c r="N11" s="18">
        <v>7.7596069999999999</v>
      </c>
      <c r="O11" s="18">
        <v>9.6555660000000003</v>
      </c>
      <c r="P11" s="18">
        <v>0.59358200000000005</v>
      </c>
      <c r="Q11" s="19">
        <v>41030</v>
      </c>
      <c r="R11" s="18">
        <v>7.2092960000000001</v>
      </c>
      <c r="S11" s="18">
        <v>10.259496</v>
      </c>
      <c r="T11" s="18">
        <v>0.79930900000000005</v>
      </c>
    </row>
    <row r="12" spans="1:20">
      <c r="A12" s="16" t="s">
        <v>28</v>
      </c>
      <c r="B12" s="16" t="s">
        <v>29</v>
      </c>
      <c r="C12" s="16" t="s">
        <v>22</v>
      </c>
      <c r="D12" s="16" t="s">
        <v>23</v>
      </c>
      <c r="E12" s="16" t="s">
        <v>30</v>
      </c>
      <c r="F12" s="18">
        <v>2.9279600000000001</v>
      </c>
      <c r="G12" s="18">
        <v>0.85</v>
      </c>
      <c r="H12" s="18">
        <v>0</v>
      </c>
      <c r="I12" s="18" t="s">
        <v>91</v>
      </c>
      <c r="J12" s="19">
        <v>44531</v>
      </c>
      <c r="K12" s="18">
        <v>29.009115000000001</v>
      </c>
      <c r="L12" s="18">
        <v>18.874072999999999</v>
      </c>
      <c r="M12" s="18">
        <v>1.724872</v>
      </c>
      <c r="N12" s="18"/>
      <c r="O12" s="18"/>
      <c r="P12" s="18"/>
      <c r="Q12" s="19">
        <v>44531</v>
      </c>
      <c r="R12" s="18">
        <v>8.5874349999999993</v>
      </c>
      <c r="S12" s="18">
        <v>17.728909000000002</v>
      </c>
      <c r="T12" s="18">
        <v>0.426228</v>
      </c>
    </row>
    <row r="13" spans="1:20">
      <c r="A13" s="16" t="s">
        <v>31</v>
      </c>
      <c r="B13" s="16" t="s">
        <v>32</v>
      </c>
      <c r="C13" s="16" t="s">
        <v>22</v>
      </c>
      <c r="D13" s="16" t="s">
        <v>33</v>
      </c>
      <c r="E13" s="16" t="s">
        <v>34</v>
      </c>
      <c r="F13" s="18">
        <v>2.4563000000000001</v>
      </c>
      <c r="G13" s="18">
        <v>0.92</v>
      </c>
      <c r="H13" s="18">
        <v>0</v>
      </c>
      <c r="I13" s="18" t="s">
        <v>91</v>
      </c>
      <c r="J13" s="19">
        <v>37756</v>
      </c>
      <c r="K13" s="18">
        <v>110.16317600000001</v>
      </c>
      <c r="L13" s="18">
        <v>40.233476000000003</v>
      </c>
      <c r="M13" s="18">
        <v>2.7395640000000001</v>
      </c>
      <c r="N13" s="18">
        <v>18.105878000000001</v>
      </c>
      <c r="O13" s="18">
        <v>27.587385999999999</v>
      </c>
      <c r="P13" s="18">
        <v>0.65719899999999998</v>
      </c>
      <c r="Q13" s="19">
        <v>37756</v>
      </c>
      <c r="R13" s="18">
        <v>9.6949140000000007</v>
      </c>
      <c r="S13" s="18">
        <v>33.818899999999999</v>
      </c>
      <c r="T13" s="18">
        <v>0.491425</v>
      </c>
    </row>
    <row r="14" spans="1:20">
      <c r="A14" s="16" t="s">
        <v>35</v>
      </c>
      <c r="B14" s="16" t="s">
        <v>36</v>
      </c>
      <c r="C14" s="16" t="s">
        <v>22</v>
      </c>
      <c r="D14" s="16" t="s">
        <v>37</v>
      </c>
      <c r="E14" s="16" t="s">
        <v>38</v>
      </c>
      <c r="F14" s="18">
        <v>5.8116899999999996</v>
      </c>
      <c r="G14" s="18">
        <v>0.56999999999999995</v>
      </c>
      <c r="H14" s="18">
        <v>10.437419999999999</v>
      </c>
      <c r="I14" s="18" t="s">
        <v>91</v>
      </c>
      <c r="J14" s="19">
        <v>39405</v>
      </c>
      <c r="K14" s="18">
        <v>-1.4416469999999999</v>
      </c>
      <c r="L14" s="18">
        <v>10.600118</v>
      </c>
      <c r="M14" s="18">
        <v>-0.72093300000000005</v>
      </c>
      <c r="N14" s="18">
        <v>4.6739560000000004</v>
      </c>
      <c r="O14" s="18">
        <v>7.0934970000000002</v>
      </c>
      <c r="P14" s="18">
        <v>0.36613899999999999</v>
      </c>
      <c r="Q14" s="19">
        <v>39405</v>
      </c>
      <c r="R14" s="18">
        <v>6.4332929999999999</v>
      </c>
      <c r="S14" s="18">
        <v>5.6518730000000001</v>
      </c>
      <c r="T14" s="18">
        <v>1.2678309999999999</v>
      </c>
    </row>
    <row r="15" spans="1:20">
      <c r="A15" s="16" t="s">
        <v>39</v>
      </c>
      <c r="B15" s="16" t="s">
        <v>40</v>
      </c>
      <c r="C15" s="16" t="s">
        <v>22</v>
      </c>
      <c r="D15" s="16" t="s">
        <v>33</v>
      </c>
      <c r="E15" s="16" t="s">
        <v>41</v>
      </c>
      <c r="F15" s="18">
        <v>4.26004</v>
      </c>
      <c r="G15" s="18">
        <v>0.88</v>
      </c>
      <c r="H15" s="18">
        <v>0</v>
      </c>
      <c r="I15" s="18" t="s">
        <v>91</v>
      </c>
      <c r="J15" s="19">
        <v>36007</v>
      </c>
      <c r="K15" s="18">
        <v>34.626063000000002</v>
      </c>
      <c r="L15" s="18">
        <v>15.510973</v>
      </c>
      <c r="M15" s="18">
        <v>2.4573200000000002</v>
      </c>
      <c r="N15" s="18">
        <v>7.8676519999999996</v>
      </c>
      <c r="O15" s="18">
        <v>11.057544</v>
      </c>
      <c r="P15" s="18">
        <v>0.54159800000000002</v>
      </c>
      <c r="Q15" s="19">
        <v>36007</v>
      </c>
      <c r="R15" s="18">
        <v>9.7487510000000004</v>
      </c>
      <c r="S15" s="18">
        <v>13.619308999999999</v>
      </c>
      <c r="T15" s="18">
        <v>0.83328500000000005</v>
      </c>
    </row>
    <row r="16" spans="1:20">
      <c r="A16" s="16" t="s">
        <v>42</v>
      </c>
      <c r="B16" s="16" t="s">
        <v>43</v>
      </c>
      <c r="C16" s="16" t="s">
        <v>16</v>
      </c>
      <c r="D16" s="16" t="s">
        <v>18</v>
      </c>
      <c r="E16" s="16" t="s">
        <v>19</v>
      </c>
      <c r="F16" s="18">
        <v>8.26</v>
      </c>
      <c r="G16" s="18">
        <v>2.83</v>
      </c>
      <c r="H16" s="18">
        <v>0</v>
      </c>
      <c r="I16" s="18" t="s">
        <v>90</v>
      </c>
      <c r="J16" s="19">
        <v>45747</v>
      </c>
      <c r="K16" s="18">
        <v>8.7900259999999992</v>
      </c>
      <c r="L16" s="18">
        <v>0.60697100000000004</v>
      </c>
      <c r="M16" s="18">
        <v>4.2430079999999997</v>
      </c>
      <c r="N16" s="18"/>
      <c r="O16" s="18"/>
      <c r="P16" s="18"/>
      <c r="Q16" s="19">
        <v>45747</v>
      </c>
      <c r="R16" s="18">
        <v>8.7900259999999992</v>
      </c>
      <c r="S16" s="18">
        <v>0.60697100000000004</v>
      </c>
      <c r="T16" s="18">
        <v>4.2430079999999997</v>
      </c>
    </row>
    <row r="17" spans="1:20">
      <c r="A17" s="16" t="s">
        <v>44</v>
      </c>
      <c r="B17" s="16" t="s">
        <v>45</v>
      </c>
      <c r="C17" s="16" t="s">
        <v>22</v>
      </c>
      <c r="D17" s="16" t="s">
        <v>33</v>
      </c>
      <c r="E17" s="16" t="s">
        <v>46</v>
      </c>
      <c r="F17" s="18">
        <v>1.06572</v>
      </c>
      <c r="G17" s="18">
        <v>0.65</v>
      </c>
      <c r="H17" s="18">
        <v>0</v>
      </c>
      <c r="I17" s="18" t="s">
        <v>91</v>
      </c>
      <c r="J17" s="19">
        <v>41341</v>
      </c>
      <c r="K17" s="18">
        <v>30.371828000000001</v>
      </c>
      <c r="L17" s="18">
        <v>19.690042999999999</v>
      </c>
      <c r="M17" s="18">
        <v>1.742005</v>
      </c>
      <c r="N17" s="18">
        <v>7.7665680000000004</v>
      </c>
      <c r="O17" s="18">
        <v>16.519825000000001</v>
      </c>
      <c r="P17" s="18">
        <v>0.40396599999999999</v>
      </c>
      <c r="Q17" s="19">
        <v>41341</v>
      </c>
      <c r="R17" s="18">
        <v>8.3837170000000008</v>
      </c>
      <c r="S17" s="18">
        <v>20.207463000000001</v>
      </c>
      <c r="T17" s="18">
        <v>0.55314700000000006</v>
      </c>
    </row>
    <row r="18" spans="1:20">
      <c r="A18" s="16" t="s">
        <v>47</v>
      </c>
      <c r="B18" s="16" t="s">
        <v>48</v>
      </c>
      <c r="C18" s="16" t="s">
        <v>22</v>
      </c>
      <c r="D18" s="16" t="s">
        <v>37</v>
      </c>
      <c r="E18" s="16" t="s">
        <v>38</v>
      </c>
      <c r="F18" s="18">
        <v>5.0021899999999997</v>
      </c>
      <c r="G18" s="18">
        <v>0.22</v>
      </c>
      <c r="H18" s="18">
        <v>4.3349399999999996</v>
      </c>
      <c r="I18" s="18" t="s">
        <v>91</v>
      </c>
      <c r="J18" s="19">
        <v>45293</v>
      </c>
      <c r="K18" s="18">
        <v>-0.114176</v>
      </c>
      <c r="L18" s="18">
        <v>5.8673599999999997</v>
      </c>
      <c r="M18" s="18">
        <v>-1.0199370000000001</v>
      </c>
      <c r="N18" s="18"/>
      <c r="O18" s="18"/>
      <c r="P18" s="18"/>
      <c r="Q18" s="19">
        <v>45293</v>
      </c>
      <c r="R18" s="18">
        <v>4.5929349999999998</v>
      </c>
      <c r="S18" s="18">
        <v>3.903724</v>
      </c>
      <c r="T18" s="18">
        <v>-6.7858000000000002E-2</v>
      </c>
    </row>
    <row r="19" spans="1:20">
      <c r="A19" s="16" t="s">
        <v>49</v>
      </c>
      <c r="B19" s="16" t="s">
        <v>50</v>
      </c>
      <c r="C19" s="16" t="s">
        <v>22</v>
      </c>
      <c r="D19" s="16" t="s">
        <v>33</v>
      </c>
      <c r="E19" s="16" t="s">
        <v>51</v>
      </c>
      <c r="F19" s="18">
        <v>1.38554</v>
      </c>
      <c r="G19" s="18">
        <v>1</v>
      </c>
      <c r="H19" s="18">
        <v>0</v>
      </c>
      <c r="I19" s="18" t="s">
        <v>91</v>
      </c>
      <c r="J19" s="19">
        <v>44313</v>
      </c>
      <c r="K19" s="18">
        <v>38.231397999999999</v>
      </c>
      <c r="L19" s="18">
        <v>31.241140000000001</v>
      </c>
      <c r="M19" s="18">
        <v>1.4595860000000001</v>
      </c>
      <c r="N19" s="18"/>
      <c r="O19" s="18"/>
      <c r="P19" s="18"/>
      <c r="Q19" s="19">
        <v>44313</v>
      </c>
      <c r="R19" s="18">
        <v>4.2301820000000001</v>
      </c>
      <c r="S19" s="18">
        <v>27.589323</v>
      </c>
      <c r="T19" s="18">
        <v>0.166882</v>
      </c>
    </row>
    <row r="20" spans="1:20">
      <c r="A20" s="16" t="s">
        <v>52</v>
      </c>
      <c r="B20" s="16" t="s">
        <v>53</v>
      </c>
      <c r="C20" s="16" t="s">
        <v>22</v>
      </c>
      <c r="D20" s="16" t="s">
        <v>33</v>
      </c>
      <c r="E20" s="16" t="s">
        <v>54</v>
      </c>
      <c r="F20" s="18">
        <v>0.51765000000000005</v>
      </c>
      <c r="G20" s="18">
        <v>0.95</v>
      </c>
      <c r="H20" s="18">
        <v>0</v>
      </c>
      <c r="I20" s="18" t="s">
        <v>91</v>
      </c>
      <c r="J20" s="19">
        <v>44788</v>
      </c>
      <c r="K20" s="18">
        <v>34.110143000000001</v>
      </c>
      <c r="L20" s="18">
        <v>27.843986999999998</v>
      </c>
      <c r="M20" s="18">
        <v>1.4467000000000001</v>
      </c>
      <c r="N20" s="18"/>
      <c r="O20" s="18"/>
      <c r="P20" s="18"/>
      <c r="Q20" s="19">
        <v>44788</v>
      </c>
      <c r="R20" s="18">
        <v>8.0569690000000005</v>
      </c>
      <c r="S20" s="18">
        <v>24.320304</v>
      </c>
      <c r="T20" s="18">
        <v>0.296265</v>
      </c>
    </row>
    <row r="21" spans="1:20">
      <c r="A21" s="16" t="s">
        <v>55</v>
      </c>
      <c r="B21" s="16" t="s">
        <v>56</v>
      </c>
      <c r="C21" s="16" t="s">
        <v>22</v>
      </c>
      <c r="D21" s="16" t="s">
        <v>23</v>
      </c>
      <c r="E21" s="16" t="s">
        <v>57</v>
      </c>
      <c r="F21" s="18">
        <v>1.47464</v>
      </c>
      <c r="G21" s="18">
        <v>0.86</v>
      </c>
      <c r="H21" s="18">
        <v>0</v>
      </c>
      <c r="I21" s="18" t="s">
        <v>91</v>
      </c>
      <c r="J21" s="19">
        <v>37138</v>
      </c>
      <c r="K21" s="18">
        <v>26.235257000000001</v>
      </c>
      <c r="L21" s="18">
        <v>16.893180999999998</v>
      </c>
      <c r="M21" s="18">
        <v>1.7226889999999999</v>
      </c>
      <c r="N21" s="18">
        <v>10.687295000000001</v>
      </c>
      <c r="O21" s="18">
        <v>12.948429000000001</v>
      </c>
      <c r="P21" s="18">
        <v>0.68014799999999997</v>
      </c>
      <c r="Q21" s="19">
        <v>37138</v>
      </c>
      <c r="R21" s="18">
        <v>9.7761279999999999</v>
      </c>
      <c r="S21" s="18">
        <v>15.34751</v>
      </c>
      <c r="T21" s="18">
        <v>0.793655</v>
      </c>
    </row>
    <row r="22" spans="1:20">
      <c r="A22" s="16" t="s">
        <v>58</v>
      </c>
      <c r="B22" s="16" t="s">
        <v>59</v>
      </c>
      <c r="C22" s="16" t="s">
        <v>60</v>
      </c>
      <c r="D22" s="16" t="s">
        <v>17</v>
      </c>
      <c r="E22" s="16" t="s">
        <v>61</v>
      </c>
      <c r="F22" s="18">
        <v>5.7228700000000003</v>
      </c>
      <c r="G22" s="18">
        <v>0.49</v>
      </c>
      <c r="H22" s="18">
        <v>2.7815300000000001</v>
      </c>
      <c r="I22" s="18" t="s">
        <v>91</v>
      </c>
      <c r="J22" s="19">
        <v>39176</v>
      </c>
      <c r="K22" s="18">
        <v>10.214124999999999</v>
      </c>
      <c r="L22" s="18">
        <v>4.5214379999999998</v>
      </c>
      <c r="M22" s="18">
        <v>1.695147</v>
      </c>
      <c r="N22" s="18">
        <v>5.1922499999999996</v>
      </c>
      <c r="O22" s="18">
        <v>7.254937</v>
      </c>
      <c r="P22" s="18">
        <v>0.42902600000000002</v>
      </c>
      <c r="Q22" s="19">
        <v>39176</v>
      </c>
      <c r="R22" s="18">
        <v>5.0933320000000002</v>
      </c>
      <c r="S22" s="18">
        <v>7.3679490000000003</v>
      </c>
      <c r="T22" s="18">
        <v>0.71969799999999995</v>
      </c>
    </row>
    <row r="23" spans="1:20">
      <c r="A23" s="16" t="s">
        <v>62</v>
      </c>
      <c r="B23" s="16" t="s">
        <v>63</v>
      </c>
      <c r="C23" s="16" t="s">
        <v>60</v>
      </c>
      <c r="D23" s="16" t="s">
        <v>17</v>
      </c>
      <c r="E23" s="16" t="s">
        <v>64</v>
      </c>
      <c r="F23" s="18">
        <v>4.3446600000000002</v>
      </c>
      <c r="G23" s="18">
        <v>0.14000000000000001</v>
      </c>
      <c r="H23" s="18">
        <v>8.1062899999999996</v>
      </c>
      <c r="I23" s="18" t="s">
        <v>91</v>
      </c>
      <c r="J23" s="19">
        <v>37459</v>
      </c>
      <c r="K23" s="18">
        <v>9.1205739999999995</v>
      </c>
      <c r="L23" s="18">
        <v>7.4491129999999997</v>
      </c>
      <c r="M23" s="18">
        <v>0.89397300000000002</v>
      </c>
      <c r="N23" s="18">
        <v>3.1442890000000001</v>
      </c>
      <c r="O23" s="18">
        <v>8.1701969999999999</v>
      </c>
      <c r="P23" s="18">
        <v>0.147008</v>
      </c>
      <c r="Q23" s="19">
        <v>37459</v>
      </c>
      <c r="R23" s="18">
        <v>4.5733889999999997</v>
      </c>
      <c r="S23" s="18">
        <v>7.693511</v>
      </c>
      <c r="T23" s="18">
        <v>0.55308299999999999</v>
      </c>
    </row>
    <row r="24" spans="1:20">
      <c r="A24" s="16" t="s">
        <v>65</v>
      </c>
      <c r="B24" s="16" t="s">
        <v>66</v>
      </c>
      <c r="C24" s="16" t="s">
        <v>60</v>
      </c>
      <c r="D24" s="16" t="s">
        <v>17</v>
      </c>
      <c r="E24" s="16" t="s">
        <v>67</v>
      </c>
      <c r="F24" s="18">
        <v>4.2009999999999996</v>
      </c>
      <c r="G24" s="18">
        <v>0.08</v>
      </c>
      <c r="H24" s="18">
        <v>0.13841000000000001</v>
      </c>
      <c r="I24" s="18" t="s">
        <v>91</v>
      </c>
      <c r="J24" s="19">
        <v>43977</v>
      </c>
      <c r="K24" s="18">
        <v>4.259798</v>
      </c>
      <c r="L24" s="18">
        <v>0.194637</v>
      </c>
      <c r="M24" s="18">
        <v>-3.3586999999999999E-2</v>
      </c>
      <c r="N24" s="18"/>
      <c r="O24" s="18"/>
      <c r="P24" s="18"/>
      <c r="Q24" s="19">
        <v>43977</v>
      </c>
      <c r="R24" s="18">
        <v>2.8707560000000001</v>
      </c>
      <c r="S24" s="18">
        <v>0.24592900000000001</v>
      </c>
      <c r="T24" s="18">
        <v>-0.20027600000000001</v>
      </c>
    </row>
    <row r="25" spans="1:20">
      <c r="A25" s="16"/>
      <c r="B25" s="16"/>
      <c r="C25" s="16"/>
      <c r="D25" s="16"/>
      <c r="E25" s="16"/>
      <c r="F25" s="18"/>
      <c r="G25" s="18"/>
      <c r="H25" s="18"/>
      <c r="I25" s="18"/>
      <c r="J25" s="19"/>
      <c r="K25" s="18"/>
      <c r="L25" s="18"/>
      <c r="M25" s="18"/>
      <c r="N25" s="18"/>
      <c r="O25" s="18"/>
      <c r="P25" s="18"/>
      <c r="Q25" s="19"/>
      <c r="R25" s="18"/>
      <c r="S25" s="18"/>
      <c r="T25" s="18"/>
    </row>
    <row r="26" spans="1:20" ht="15">
      <c r="A26" s="17" t="s">
        <v>80</v>
      </c>
      <c r="B26" s="16"/>
      <c r="C26" s="16"/>
      <c r="D26" s="16"/>
      <c r="E26" s="20" t="s">
        <v>88</v>
      </c>
      <c r="I26" s="18"/>
      <c r="J26" s="19"/>
      <c r="K26" s="18"/>
      <c r="L26" s="18"/>
      <c r="M26" s="18"/>
      <c r="N26" s="18"/>
      <c r="O26" s="18"/>
      <c r="P26" s="18"/>
      <c r="Q26" s="19"/>
      <c r="R26" s="18"/>
      <c r="S26" s="18"/>
      <c r="T26" s="18"/>
    </row>
    <row r="27" spans="1:20" ht="17" thickBot="1">
      <c r="A27" s="1" t="s">
        <v>76</v>
      </c>
      <c r="B27" s="1" t="s">
        <v>6</v>
      </c>
      <c r="C27" s="2" t="s">
        <v>75</v>
      </c>
      <c r="D27" s="1" t="s">
        <v>74</v>
      </c>
      <c r="E27" s="2" t="s">
        <v>92</v>
      </c>
    </row>
    <row r="28" spans="1:20" ht="16" thickBot="1">
      <c r="A28" s="3" t="s">
        <v>55</v>
      </c>
      <c r="B28" s="3" t="s">
        <v>56</v>
      </c>
      <c r="C28" s="4">
        <v>0.28999999999999998</v>
      </c>
      <c r="D28" s="3" t="s">
        <v>85</v>
      </c>
      <c r="E28" s="4" t="s">
        <v>93</v>
      </c>
    </row>
    <row r="29" spans="1:20" ht="16" thickBot="1">
      <c r="A29" s="3" t="s">
        <v>49</v>
      </c>
      <c r="B29" s="3" t="s">
        <v>77</v>
      </c>
      <c r="C29" s="4">
        <v>0.14000000000000001</v>
      </c>
      <c r="D29" s="3" t="s">
        <v>84</v>
      </c>
      <c r="E29" s="4" t="s">
        <v>93</v>
      </c>
    </row>
    <row r="30" spans="1:20" ht="16" thickBot="1">
      <c r="A30" s="3" t="s">
        <v>39</v>
      </c>
      <c r="B30" s="3" t="s">
        <v>40</v>
      </c>
      <c r="C30" s="4">
        <v>0.08</v>
      </c>
      <c r="D30" s="3" t="s">
        <v>83</v>
      </c>
      <c r="E30" s="4" t="s">
        <v>93</v>
      </c>
    </row>
    <row r="31" spans="1:20" ht="16" thickBot="1">
      <c r="A31" s="3" t="s">
        <v>47</v>
      </c>
      <c r="B31" s="3" t="s">
        <v>48</v>
      </c>
      <c r="C31" s="4">
        <v>7.0000000000000007E-2</v>
      </c>
      <c r="D31" s="3" t="s">
        <v>82</v>
      </c>
      <c r="E31" s="4" t="s">
        <v>94</v>
      </c>
    </row>
    <row r="32" spans="1:20" ht="16" thickBot="1">
      <c r="A32" s="3" t="s">
        <v>62</v>
      </c>
      <c r="B32" s="3" t="s">
        <v>63</v>
      </c>
      <c r="C32" s="4">
        <v>0.31</v>
      </c>
      <c r="D32" s="3" t="s">
        <v>78</v>
      </c>
      <c r="E32" s="4" t="s">
        <v>93</v>
      </c>
    </row>
    <row r="33" spans="1:5" ht="16" thickBot="1">
      <c r="A33" s="3" t="s">
        <v>20</v>
      </c>
      <c r="B33" s="3" t="s">
        <v>79</v>
      </c>
      <c r="C33" s="4">
        <v>0.09</v>
      </c>
      <c r="D33" s="3" t="s">
        <v>86</v>
      </c>
      <c r="E33" s="4" t="s">
        <v>93</v>
      </c>
    </row>
    <row r="34" spans="1:5" ht="16" thickBot="1">
      <c r="A34" s="5" t="s">
        <v>65</v>
      </c>
      <c r="B34" s="5" t="s">
        <v>66</v>
      </c>
      <c r="C34" s="6">
        <v>0.02</v>
      </c>
      <c r="D34" s="5" t="s">
        <v>81</v>
      </c>
      <c r="E34" s="6" t="s">
        <v>95</v>
      </c>
    </row>
    <row r="35" spans="1:5" ht="17" thickBot="1">
      <c r="A35" s="8" t="s">
        <v>87</v>
      </c>
      <c r="C35" s="7">
        <f>SUM(C28:C34)</f>
        <v>1</v>
      </c>
    </row>
  </sheetData>
  <mergeCells count="6">
    <mergeCell ref="Q4:T4"/>
    <mergeCell ref="Q5:T5"/>
    <mergeCell ref="J4:M4"/>
    <mergeCell ref="J5:M5"/>
    <mergeCell ref="N4:P4"/>
    <mergeCell ref="N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First Eagle Investments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Calvano, Luke</dc:creator>
  <cp:lastModifiedBy>Dylan Sturdevant</cp:lastModifiedBy>
  <dcterms:created xsi:type="dcterms:W3CDTF">2025-12-23T21:32:28Z</dcterms:created>
  <dcterms:modified xsi:type="dcterms:W3CDTF">2025-12-29T16:49:07Z</dcterms:modified>
</cp:coreProperties>
</file>